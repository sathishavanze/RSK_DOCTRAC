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hikeyandhan\AppData\Local\Microsoft\Windows\INetCache\Content.Outlook\3BAP3JIB\"/>
    </mc:Choice>
  </mc:AlternateContent>
  <bookViews>
    <workbookView xWindow="0" yWindow="0" windowWidth="19200" windowHeight="70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2" l="1"/>
  <c r="H59" i="2"/>
  <c r="F54" i="2"/>
  <c r="E54" i="2"/>
  <c r="D54" i="2"/>
  <c r="C54" i="2"/>
  <c r="F46" i="2"/>
  <c r="E46" i="2"/>
  <c r="D46" i="2"/>
  <c r="C46" i="2"/>
  <c r="D36" i="2"/>
  <c r="I25" i="2"/>
  <c r="H25" i="2"/>
  <c r="F25" i="2"/>
  <c r="G25" i="2" s="1"/>
  <c r="D25" i="2"/>
  <c r="E25" i="2" s="1"/>
  <c r="I24" i="2"/>
  <c r="G24" i="2"/>
  <c r="E24" i="2"/>
  <c r="I23" i="2"/>
  <c r="G23" i="2"/>
  <c r="E23" i="2"/>
  <c r="I22" i="2"/>
  <c r="G22" i="2"/>
  <c r="E22" i="2"/>
  <c r="I21" i="2"/>
  <c r="G21" i="2"/>
  <c r="E21" i="2"/>
  <c r="I20" i="2"/>
  <c r="G20" i="2"/>
  <c r="E20" i="2"/>
  <c r="I19" i="2"/>
  <c r="G19" i="2"/>
  <c r="E19" i="2"/>
  <c r="I18" i="2"/>
  <c r="G18" i="2"/>
  <c r="E18" i="2"/>
  <c r="E12" i="2"/>
  <c r="F12" i="2" s="1"/>
  <c r="G12" i="2" s="1"/>
  <c r="D12" i="2"/>
  <c r="T11" i="2"/>
  <c r="S11" i="2"/>
  <c r="R11" i="2"/>
  <c r="Q11" i="2"/>
  <c r="P11" i="2"/>
  <c r="O11" i="2"/>
  <c r="N11" i="2"/>
  <c r="M11" i="2"/>
  <c r="L11" i="2"/>
  <c r="F10" i="2"/>
  <c r="H10" i="2" s="1"/>
  <c r="H9" i="2"/>
  <c r="I9" i="2" s="1"/>
  <c r="G9" i="2"/>
  <c r="F9" i="2"/>
  <c r="F8" i="2"/>
  <c r="H8" i="2" s="1"/>
  <c r="H7" i="2"/>
  <c r="I7" i="2" s="1"/>
  <c r="G7" i="2"/>
  <c r="F7" i="2"/>
  <c r="F6" i="2"/>
  <c r="H6" i="2" s="1"/>
  <c r="H5" i="2"/>
  <c r="I5" i="2" s="1"/>
  <c r="G5" i="2"/>
  <c r="F5" i="2"/>
  <c r="F4" i="2"/>
  <c r="H4" i="2" s="1"/>
  <c r="G4" i="2" l="1"/>
  <c r="I4" i="2" s="1"/>
  <c r="G6" i="2"/>
  <c r="I6" i="2" s="1"/>
  <c r="G8" i="2"/>
  <c r="I8" i="2" s="1"/>
  <c r="G10" i="2"/>
  <c r="I10" i="2" s="1"/>
  <c r="H12" i="2"/>
  <c r="I12" i="2" s="1"/>
</calcChain>
</file>

<file path=xl/sharedStrings.xml><?xml version="1.0" encoding="utf-8"?>
<sst xmlns="http://schemas.openxmlformats.org/spreadsheetml/2006/main" count="143" uniqueCount="75">
  <si>
    <t>Sr.No</t>
  </si>
  <si>
    <t>Type of Reports Required</t>
  </si>
  <si>
    <t>Format</t>
  </si>
  <si>
    <t>Queue</t>
  </si>
  <si>
    <t>Period</t>
  </si>
  <si>
    <t>Teams</t>
  </si>
  <si>
    <t>Comments</t>
  </si>
  <si>
    <t>Productivity Report</t>
  </si>
  <si>
    <t>Attached</t>
  </si>
  <si>
    <t>All</t>
  </si>
  <si>
    <t>Daily/weekly/Month</t>
  </si>
  <si>
    <t>Total and Agent wise</t>
  </si>
  <si>
    <t>Inflow Report- Processing</t>
  </si>
  <si>
    <t>Processing</t>
  </si>
  <si>
    <t>Daily/Weekly/Month</t>
  </si>
  <si>
    <t>Upload to the tool</t>
  </si>
  <si>
    <t>Inflow Report- Queue and Sub Queue</t>
  </si>
  <si>
    <t>TAT-Pending loans in each status and Milestone</t>
  </si>
  <si>
    <t>How many loans are there in each queue/all status</t>
  </si>
  <si>
    <t>Cycle Time of each function</t>
  </si>
  <si>
    <t>How long did a loan take to complete in each Function</t>
  </si>
  <si>
    <t>Cycle time-Sub Status</t>
  </si>
  <si>
    <t>How long did a loan take to complete in each bucket</t>
  </si>
  <si>
    <t>Follow-up Count</t>
  </si>
  <si>
    <t>Individual subtasks/functions/agent level</t>
  </si>
  <si>
    <t>Followed-up % and misses within SLA</t>
  </si>
  <si>
    <t>Tool Utilization Report</t>
  </si>
  <si>
    <t>Avanze to provide</t>
  </si>
  <si>
    <t>Checklist</t>
  </si>
  <si>
    <t>Checklist has to be completed before moving to the next task</t>
  </si>
  <si>
    <t>Checklist- Problem Identified</t>
  </si>
  <si>
    <t>Count of problem identified</t>
  </si>
  <si>
    <t>Goal Trending</t>
  </si>
  <si>
    <t>Format shared</t>
  </si>
  <si>
    <t>Dump Upload</t>
  </si>
  <si>
    <t>UW Kickback Report</t>
  </si>
  <si>
    <t>Aging Analysis Report- Trend and Forecast</t>
  </si>
  <si>
    <t>Funding Curve</t>
  </si>
  <si>
    <t>Cycle Time-Overall</t>
  </si>
  <si>
    <t>Month on Month</t>
  </si>
  <si>
    <t>Inflow Report</t>
  </si>
  <si>
    <t>Processwise Inflow</t>
  </si>
  <si>
    <t>% Distribution</t>
  </si>
  <si>
    <t>Mary Kapornyai</t>
  </si>
  <si>
    <t>Mark Mays</t>
  </si>
  <si>
    <t>Jodie</t>
  </si>
  <si>
    <t>Inflows</t>
  </si>
  <si>
    <t>FHA</t>
  </si>
  <si>
    <t>VA</t>
  </si>
  <si>
    <t>Total</t>
  </si>
  <si>
    <t>Dates</t>
  </si>
  <si>
    <t>Productivity Report- All the Q's required</t>
  </si>
  <si>
    <t>Santosh</t>
  </si>
  <si>
    <t>Jitendra</t>
  </si>
  <si>
    <t>Khan</t>
  </si>
  <si>
    <t>Cycle Time- Title</t>
  </si>
  <si>
    <t>Agent wise cycle time</t>
  </si>
  <si>
    <t>Title</t>
  </si>
  <si>
    <t>No of days</t>
  </si>
  <si>
    <t>SLA</t>
  </si>
  <si>
    <t>Cycle Time- Sub Status</t>
  </si>
  <si>
    <t>need for all sub Q</t>
  </si>
  <si>
    <t>Title New order</t>
  </si>
  <si>
    <t>Exceptions</t>
  </si>
  <si>
    <t>processor Confirmation</t>
  </si>
  <si>
    <t>Title Confirmation</t>
  </si>
  <si>
    <t>Average Total</t>
  </si>
  <si>
    <t>Follow-up Count- Same day-Title</t>
  </si>
  <si>
    <t>Follow-up Count-Title</t>
  </si>
  <si>
    <t>Agent wise</t>
  </si>
  <si>
    <t>Agent and Date wise</t>
  </si>
  <si>
    <t>Follow-up Count-Title- Missed TAT</t>
  </si>
  <si>
    <t>Total Completed</t>
  </si>
  <si>
    <t>Non-workable Report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</si>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</sst>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/>
    <xf numFmtId="0" fontId="0" fillId="3" borderId="0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/>
    <xf numFmtId="0" fontId="0" fillId="3" borderId="1" xfId="0" applyFill="1" applyBorder="1"/>
    <xf numFmtId="0" fontId="0" fillId="3" borderId="10" xfId="0" applyFill="1" applyBorder="1"/>
    <xf numFmtId="16" fontId="0" fillId="3" borderId="0" xfId="0" applyNumberFormat="1" applyFill="1" applyAlignment="1">
      <alignment horizontal="center"/>
    </xf>
    <xf numFmtId="9" fontId="0" fillId="3" borderId="0" xfId="1" applyFont="1" applyFill="1" applyAlignment="1">
      <alignment horizontal="center"/>
    </xf>
    <xf numFmtId="9" fontId="0" fillId="3" borderId="0" xfId="1" applyFont="1" applyFill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9" fontId="0" fillId="3" borderId="3" xfId="1" applyFont="1" applyFill="1" applyBorder="1" applyAlignment="1">
      <alignment horizontal="center"/>
    </xf>
    <xf numFmtId="9" fontId="0" fillId="3" borderId="4" xfId="1" applyFont="1" applyFill="1" applyBorder="1" applyAlignment="1">
      <alignment horizontal="center"/>
    </xf>
    <xf numFmtId="16" fontId="0" fillId="3" borderId="2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18" sqref="E18"/>
    </sheetView>
  </sheetViews>
  <sheetFormatPr defaultRowHeight="14.5" x14ac:dyDescent="0.35"/>
  <cols>
    <col min="1" max="1" width="5.36328125" bestFit="1" customWidth="1"/>
    <col min="2" max="2" width="41" bestFit="1" customWidth="1"/>
    <col min="3" max="3" width="15.90625" bestFit="1" customWidth="1"/>
    <col min="4" max="4" width="9.54296875" bestFit="1" customWidth="1"/>
    <col min="5" max="5" width="18.453125" bestFit="1" customWidth="1"/>
    <col min="6" max="6" width="35.453125" bestFit="1" customWidth="1"/>
    <col min="7" max="7" width="52.17968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5">
      <c r="A2" s="4">
        <v>1</v>
      </c>
      <c r="B2" s="5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6"/>
    </row>
    <row r="3" spans="1:7" x14ac:dyDescent="0.35">
      <c r="A3" s="4">
        <v>2</v>
      </c>
      <c r="B3" s="5" t="s">
        <v>12</v>
      </c>
      <c r="C3" s="5" t="s">
        <v>8</v>
      </c>
      <c r="D3" s="4" t="s">
        <v>13</v>
      </c>
      <c r="E3" s="4" t="s">
        <v>14</v>
      </c>
      <c r="F3" s="4"/>
      <c r="G3" s="6" t="s">
        <v>15</v>
      </c>
    </row>
    <row r="4" spans="1:7" x14ac:dyDescent="0.35">
      <c r="A4" s="4">
        <v>3</v>
      </c>
      <c r="B4" s="5" t="s">
        <v>16</v>
      </c>
      <c r="C4" s="5" t="s">
        <v>8</v>
      </c>
      <c r="D4" s="4" t="s">
        <v>9</v>
      </c>
      <c r="E4" s="4" t="s">
        <v>14</v>
      </c>
      <c r="F4" s="4"/>
      <c r="G4" s="6"/>
    </row>
    <row r="5" spans="1:7" x14ac:dyDescent="0.35">
      <c r="A5" s="4">
        <v>4</v>
      </c>
      <c r="B5" s="5" t="s">
        <v>17</v>
      </c>
      <c r="C5" s="5" t="s">
        <v>8</v>
      </c>
      <c r="D5" s="4" t="s">
        <v>9</v>
      </c>
      <c r="E5" s="4"/>
      <c r="F5" s="4" t="s">
        <v>11</v>
      </c>
      <c r="G5" s="6" t="s">
        <v>18</v>
      </c>
    </row>
    <row r="6" spans="1:7" x14ac:dyDescent="0.35">
      <c r="A6" s="4">
        <v>5</v>
      </c>
      <c r="B6" s="5" t="s">
        <v>19</v>
      </c>
      <c r="C6" s="5" t="s">
        <v>8</v>
      </c>
      <c r="D6" s="4" t="s">
        <v>9</v>
      </c>
      <c r="E6" s="4"/>
      <c r="F6" s="4" t="s">
        <v>11</v>
      </c>
      <c r="G6" s="6" t="s">
        <v>20</v>
      </c>
    </row>
    <row r="7" spans="1:7" x14ac:dyDescent="0.35">
      <c r="A7" s="4">
        <v>6</v>
      </c>
      <c r="B7" s="5" t="s">
        <v>21</v>
      </c>
      <c r="C7" s="5" t="s">
        <v>8</v>
      </c>
      <c r="D7" s="4" t="s">
        <v>9</v>
      </c>
      <c r="E7" s="4"/>
      <c r="F7" s="4" t="s">
        <v>11</v>
      </c>
      <c r="G7" s="6" t="s">
        <v>22</v>
      </c>
    </row>
    <row r="8" spans="1:7" x14ac:dyDescent="0.35">
      <c r="A8" s="4">
        <v>7</v>
      </c>
      <c r="B8" s="5" t="s">
        <v>23</v>
      </c>
      <c r="C8" s="5" t="s">
        <v>8</v>
      </c>
      <c r="D8" s="4" t="s">
        <v>9</v>
      </c>
      <c r="E8" s="4" t="s">
        <v>14</v>
      </c>
      <c r="F8" s="4" t="s">
        <v>24</v>
      </c>
      <c r="G8" s="6"/>
    </row>
    <row r="9" spans="1:7" x14ac:dyDescent="0.35">
      <c r="A9" s="4">
        <v>8</v>
      </c>
      <c r="B9" s="5" t="s">
        <v>25</v>
      </c>
      <c r="C9" s="5" t="s">
        <v>8</v>
      </c>
      <c r="D9" s="4" t="s">
        <v>9</v>
      </c>
      <c r="E9" s="4"/>
      <c r="F9" s="4" t="s">
        <v>24</v>
      </c>
      <c r="G9" s="6"/>
    </row>
    <row r="10" spans="1:7" x14ac:dyDescent="0.35">
      <c r="A10" s="4">
        <v>9</v>
      </c>
      <c r="B10" s="5" t="s">
        <v>26</v>
      </c>
      <c r="C10" s="5" t="s">
        <v>27</v>
      </c>
      <c r="D10" s="4"/>
      <c r="E10" s="4"/>
      <c r="F10" s="4"/>
      <c r="G10" s="6"/>
    </row>
    <row r="11" spans="1:7" x14ac:dyDescent="0.35">
      <c r="A11" s="4">
        <v>10</v>
      </c>
      <c r="B11" s="5" t="s">
        <v>28</v>
      </c>
      <c r="C11" s="5" t="s">
        <v>27</v>
      </c>
      <c r="D11" s="4" t="s">
        <v>9</v>
      </c>
      <c r="E11" s="4"/>
      <c r="F11" s="4"/>
      <c r="G11" s="6" t="s">
        <v>29</v>
      </c>
    </row>
    <row r="12" spans="1:7" x14ac:dyDescent="0.35">
      <c r="A12" s="4">
        <v>11</v>
      </c>
      <c r="B12" s="5" t="s">
        <v>30</v>
      </c>
      <c r="C12" s="5" t="s">
        <v>27</v>
      </c>
      <c r="D12" s="4" t="s">
        <v>9</v>
      </c>
      <c r="E12" s="4"/>
      <c r="F12" s="4"/>
      <c r="G12" s="6" t="s">
        <v>31</v>
      </c>
    </row>
    <row r="13" spans="1:7" x14ac:dyDescent="0.35">
      <c r="A13" s="4">
        <v>12</v>
      </c>
      <c r="B13" s="5" t="s">
        <v>32</v>
      </c>
      <c r="C13" s="5" t="s">
        <v>33</v>
      </c>
      <c r="D13" s="4" t="s">
        <v>13</v>
      </c>
      <c r="E13" s="4" t="s">
        <v>10</v>
      </c>
      <c r="F13" s="4" t="s">
        <v>11</v>
      </c>
      <c r="G13" s="6" t="s">
        <v>34</v>
      </c>
    </row>
    <row r="14" spans="1:7" x14ac:dyDescent="0.35">
      <c r="A14" s="4">
        <v>13</v>
      </c>
      <c r="B14" s="5" t="s">
        <v>35</v>
      </c>
      <c r="C14" s="5" t="s">
        <v>33</v>
      </c>
      <c r="D14" s="4" t="s">
        <v>13</v>
      </c>
      <c r="E14" s="4" t="s">
        <v>10</v>
      </c>
      <c r="F14" s="4" t="s">
        <v>11</v>
      </c>
      <c r="G14" s="6"/>
    </row>
    <row r="15" spans="1:7" x14ac:dyDescent="0.35">
      <c r="A15" s="4">
        <v>14</v>
      </c>
      <c r="B15" s="5" t="s">
        <v>36</v>
      </c>
      <c r="C15" s="5" t="s">
        <v>33</v>
      </c>
      <c r="D15" s="4" t="s">
        <v>13</v>
      </c>
      <c r="E15" s="4" t="s">
        <v>10</v>
      </c>
      <c r="F15" s="4"/>
      <c r="G15" s="6"/>
    </row>
    <row r="16" spans="1:7" x14ac:dyDescent="0.35">
      <c r="A16" s="4">
        <v>15</v>
      </c>
      <c r="B16" s="5" t="s">
        <v>37</v>
      </c>
      <c r="C16" s="5" t="s">
        <v>33</v>
      </c>
      <c r="D16" s="4" t="s">
        <v>13</v>
      </c>
      <c r="E16" s="4" t="s">
        <v>10</v>
      </c>
      <c r="F16" s="4"/>
      <c r="G16" s="6"/>
    </row>
    <row r="17" spans="1:7" x14ac:dyDescent="0.35">
      <c r="A17" s="4">
        <v>16</v>
      </c>
      <c r="B17" s="5" t="s">
        <v>38</v>
      </c>
      <c r="C17" s="5" t="s">
        <v>33</v>
      </c>
      <c r="D17" s="4" t="s">
        <v>13</v>
      </c>
      <c r="E17" s="4" t="s">
        <v>39</v>
      </c>
      <c r="F17" s="4"/>
      <c r="G17" s="6"/>
    </row>
    <row r="18" spans="1:7" x14ac:dyDescent="0.35">
      <c r="A18" s="4">
        <v>17</v>
      </c>
      <c r="B18" s="5" t="s">
        <v>73</v>
      </c>
      <c r="C18" s="5" t="s">
        <v>33</v>
      </c>
      <c r="D18" s="4" t="s">
        <v>13</v>
      </c>
      <c r="E18" s="4" t="s">
        <v>74</v>
      </c>
      <c r="F18" s="4"/>
      <c r="G18" s="6"/>
    </row>
    <row r="19" spans="1:7" x14ac:dyDescent="0.35">
      <c r="A19" s="4">
        <v>18</v>
      </c>
      <c r="B19" s="5"/>
      <c r="C19" s="5"/>
      <c r="D19" s="4"/>
      <c r="E19" s="4"/>
      <c r="F19" s="4"/>
      <c r="G19" s="6"/>
    </row>
    <row r="20" spans="1:7" x14ac:dyDescent="0.35">
      <c r="A20" s="4">
        <v>19</v>
      </c>
      <c r="B20" s="5"/>
      <c r="C20" s="5"/>
      <c r="D20" s="4"/>
      <c r="E20" s="4"/>
      <c r="F20" s="4"/>
      <c r="G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0"/>
  <sheetViews>
    <sheetView workbookViewId="0">
      <selection activeCell="H6" sqref="H6"/>
    </sheetView>
  </sheetViews>
  <sheetFormatPr defaultRowHeight="14.5" x14ac:dyDescent="0.35"/>
  <cols>
    <col min="1" max="2" width="8.7265625" style="8"/>
    <col min="3" max="3" width="13.7265625" style="10" bestFit="1" customWidth="1"/>
    <col min="4" max="4" width="9.7265625" style="10" bestFit="1" customWidth="1"/>
    <col min="5" max="5" width="10" style="10" bestFit="1" customWidth="1"/>
    <col min="6" max="7" width="8.7265625" style="10"/>
    <col min="8" max="8" width="11" style="10" customWidth="1"/>
    <col min="9" max="9" width="15.90625" style="8" bestFit="1" customWidth="1"/>
    <col min="10" max="10" width="8.7265625" style="8"/>
    <col min="11" max="11" width="10.36328125" style="8" bestFit="1" customWidth="1"/>
    <col min="12" max="12" width="5.81640625" style="8" customWidth="1"/>
    <col min="13" max="13" width="5.36328125" style="8" customWidth="1"/>
    <col min="14" max="14" width="7" style="8" customWidth="1"/>
    <col min="15" max="15" width="6.36328125" style="8" customWidth="1"/>
    <col min="16" max="16384" width="8.7265625" style="8"/>
  </cols>
  <sheetData>
    <row r="1" spans="3:20" ht="15" thickBot="1" x14ac:dyDescent="0.4">
      <c r="C1" s="30" t="s">
        <v>40</v>
      </c>
      <c r="D1" s="32"/>
      <c r="E1" s="32"/>
      <c r="F1" s="31"/>
      <c r="G1" s="7"/>
      <c r="H1" s="7"/>
      <c r="K1" s="28" t="s">
        <v>41</v>
      </c>
      <c r="L1" s="28"/>
      <c r="M1" s="28"/>
    </row>
    <row r="2" spans="3:20" x14ac:dyDescent="0.35">
      <c r="C2" s="9"/>
      <c r="D2" s="9"/>
      <c r="E2" s="9"/>
      <c r="F2" s="9"/>
      <c r="G2" s="33" t="s">
        <v>42</v>
      </c>
      <c r="H2" s="33"/>
      <c r="I2" s="33"/>
      <c r="J2" s="7"/>
      <c r="K2" s="10"/>
      <c r="L2" s="34" t="s">
        <v>43</v>
      </c>
      <c r="M2" s="35"/>
      <c r="N2" s="36"/>
      <c r="O2" s="34" t="s">
        <v>44</v>
      </c>
      <c r="P2" s="35"/>
      <c r="Q2" s="36"/>
      <c r="R2" s="34" t="s">
        <v>45</v>
      </c>
      <c r="S2" s="35"/>
      <c r="T2" s="36"/>
    </row>
    <row r="3" spans="3:20" x14ac:dyDescent="0.35">
      <c r="C3" s="4" t="s">
        <v>46</v>
      </c>
      <c r="D3" s="4" t="s">
        <v>47</v>
      </c>
      <c r="E3" s="4" t="s">
        <v>48</v>
      </c>
      <c r="F3" s="4" t="s">
        <v>49</v>
      </c>
      <c r="G3" s="7" t="s">
        <v>47</v>
      </c>
      <c r="H3" s="7" t="s">
        <v>48</v>
      </c>
      <c r="I3" s="8" t="s">
        <v>49</v>
      </c>
      <c r="K3" s="10" t="s">
        <v>50</v>
      </c>
      <c r="L3" s="11" t="s">
        <v>47</v>
      </c>
      <c r="M3" s="12" t="s">
        <v>48</v>
      </c>
      <c r="N3" s="13" t="s">
        <v>49</v>
      </c>
      <c r="O3" s="11" t="s">
        <v>47</v>
      </c>
      <c r="P3" s="12" t="s">
        <v>48</v>
      </c>
      <c r="Q3" s="13" t="s">
        <v>49</v>
      </c>
      <c r="R3" s="11" t="s">
        <v>47</v>
      </c>
      <c r="S3" s="12" t="s">
        <v>48</v>
      </c>
      <c r="T3" s="13" t="s">
        <v>49</v>
      </c>
    </row>
    <row r="4" spans="3:20" x14ac:dyDescent="0.35">
      <c r="C4" s="14">
        <v>43952</v>
      </c>
      <c r="D4" s="10">
        <v>5</v>
      </c>
      <c r="E4" s="10">
        <v>6</v>
      </c>
      <c r="F4" s="10">
        <f>SUM(D4:E4)</f>
        <v>11</v>
      </c>
      <c r="G4" s="15">
        <f>D4/F4</f>
        <v>0.45454545454545453</v>
      </c>
      <c r="H4" s="15">
        <f>E4/F4</f>
        <v>0.54545454545454541</v>
      </c>
      <c r="I4" s="16">
        <f>SUM(G4:H4)</f>
        <v>1</v>
      </c>
      <c r="J4" s="16"/>
      <c r="K4" s="14">
        <v>43952</v>
      </c>
      <c r="L4" s="11"/>
      <c r="M4" s="12"/>
      <c r="N4" s="13"/>
      <c r="O4" s="11"/>
      <c r="P4" s="12"/>
      <c r="Q4" s="13"/>
      <c r="R4" s="11"/>
      <c r="S4" s="12"/>
      <c r="T4" s="13"/>
    </row>
    <row r="5" spans="3:20" x14ac:dyDescent="0.35">
      <c r="C5" s="14">
        <v>43953</v>
      </c>
      <c r="D5" s="10">
        <v>8</v>
      </c>
      <c r="E5" s="10">
        <v>9</v>
      </c>
      <c r="F5" s="10">
        <f t="shared" ref="F5:F12" si="0">SUM(D5:E5)</f>
        <v>17</v>
      </c>
      <c r="G5" s="15">
        <f t="shared" ref="G5:G10" si="1">D5/F5</f>
        <v>0.47058823529411764</v>
      </c>
      <c r="H5" s="15">
        <f t="shared" ref="H5:H10" si="2">E5/F5</f>
        <v>0.52941176470588236</v>
      </c>
      <c r="I5" s="16">
        <f t="shared" ref="I5:I10" si="3">SUM(G5:H5)</f>
        <v>1</v>
      </c>
      <c r="J5" s="16"/>
      <c r="K5" s="14">
        <v>43953</v>
      </c>
      <c r="L5" s="11"/>
      <c r="M5" s="12"/>
      <c r="N5" s="13"/>
      <c r="O5" s="11"/>
      <c r="P5" s="12"/>
      <c r="Q5" s="13"/>
      <c r="R5" s="11"/>
      <c r="S5" s="12"/>
      <c r="T5" s="13"/>
    </row>
    <row r="6" spans="3:20" x14ac:dyDescent="0.35">
      <c r="C6" s="14">
        <v>43954</v>
      </c>
      <c r="D6" s="10">
        <v>5</v>
      </c>
      <c r="E6" s="10">
        <v>6</v>
      </c>
      <c r="F6" s="10">
        <f t="shared" si="0"/>
        <v>11</v>
      </c>
      <c r="G6" s="15">
        <f t="shared" si="1"/>
        <v>0.45454545454545453</v>
      </c>
      <c r="H6" s="15">
        <f t="shared" si="2"/>
        <v>0.54545454545454541</v>
      </c>
      <c r="I6" s="16">
        <f t="shared" si="3"/>
        <v>1</v>
      </c>
      <c r="J6" s="16"/>
      <c r="K6" s="14">
        <v>43954</v>
      </c>
      <c r="L6" s="11"/>
      <c r="M6" s="12"/>
      <c r="N6" s="13"/>
      <c r="O6" s="11"/>
      <c r="P6" s="12"/>
      <c r="Q6" s="13"/>
      <c r="R6" s="11"/>
      <c r="S6" s="12"/>
      <c r="T6" s="13"/>
    </row>
    <row r="7" spans="3:20" x14ac:dyDescent="0.35">
      <c r="C7" s="14">
        <v>43955</v>
      </c>
      <c r="D7" s="10">
        <v>5</v>
      </c>
      <c r="E7" s="10">
        <v>6</v>
      </c>
      <c r="F7" s="10">
        <f t="shared" si="0"/>
        <v>11</v>
      </c>
      <c r="G7" s="15">
        <f t="shared" si="1"/>
        <v>0.45454545454545453</v>
      </c>
      <c r="H7" s="15">
        <f t="shared" si="2"/>
        <v>0.54545454545454541</v>
      </c>
      <c r="I7" s="16">
        <f t="shared" si="3"/>
        <v>1</v>
      </c>
      <c r="J7" s="16"/>
      <c r="K7" s="14">
        <v>43955</v>
      </c>
      <c r="L7" s="11"/>
      <c r="M7" s="12"/>
      <c r="N7" s="13"/>
      <c r="O7" s="11"/>
      <c r="P7" s="12"/>
      <c r="Q7" s="13"/>
      <c r="R7" s="11"/>
      <c r="S7" s="12"/>
      <c r="T7" s="13"/>
    </row>
    <row r="8" spans="3:20" x14ac:dyDescent="0.35">
      <c r="C8" s="14">
        <v>43956</v>
      </c>
      <c r="D8" s="10">
        <v>5</v>
      </c>
      <c r="E8" s="10">
        <v>6</v>
      </c>
      <c r="F8" s="10">
        <f t="shared" si="0"/>
        <v>11</v>
      </c>
      <c r="G8" s="15">
        <f t="shared" si="1"/>
        <v>0.45454545454545453</v>
      </c>
      <c r="H8" s="15">
        <f t="shared" si="2"/>
        <v>0.54545454545454541</v>
      </c>
      <c r="I8" s="16">
        <f t="shared" si="3"/>
        <v>1</v>
      </c>
      <c r="J8" s="16"/>
      <c r="K8" s="14">
        <v>43956</v>
      </c>
      <c r="L8" s="11"/>
      <c r="M8" s="12"/>
      <c r="N8" s="13"/>
      <c r="O8" s="11"/>
      <c r="P8" s="12"/>
      <c r="Q8" s="13"/>
      <c r="R8" s="11"/>
      <c r="S8" s="12"/>
      <c r="T8" s="13"/>
    </row>
    <row r="9" spans="3:20" x14ac:dyDescent="0.35">
      <c r="C9" s="14">
        <v>43957</v>
      </c>
      <c r="D9" s="10">
        <v>5</v>
      </c>
      <c r="E9" s="10">
        <v>6</v>
      </c>
      <c r="F9" s="10">
        <f t="shared" si="0"/>
        <v>11</v>
      </c>
      <c r="G9" s="15">
        <f t="shared" si="1"/>
        <v>0.45454545454545453</v>
      </c>
      <c r="H9" s="15">
        <f t="shared" si="2"/>
        <v>0.54545454545454541</v>
      </c>
      <c r="I9" s="16">
        <f t="shared" si="3"/>
        <v>1</v>
      </c>
      <c r="J9" s="16"/>
      <c r="K9" s="14">
        <v>43957</v>
      </c>
      <c r="L9" s="11"/>
      <c r="M9" s="12"/>
      <c r="N9" s="13"/>
      <c r="O9" s="11"/>
      <c r="P9" s="12"/>
      <c r="Q9" s="13"/>
      <c r="R9" s="11"/>
      <c r="S9" s="12"/>
      <c r="T9" s="13"/>
    </row>
    <row r="10" spans="3:20" ht="15" thickBot="1" x14ac:dyDescent="0.4">
      <c r="C10" s="14">
        <v>43958</v>
      </c>
      <c r="D10" s="10">
        <v>5</v>
      </c>
      <c r="E10" s="10">
        <v>6</v>
      </c>
      <c r="F10" s="10">
        <f t="shared" si="0"/>
        <v>11</v>
      </c>
      <c r="G10" s="15">
        <f t="shared" si="1"/>
        <v>0.45454545454545453</v>
      </c>
      <c r="H10" s="15">
        <f t="shared" si="2"/>
        <v>0.54545454545454541</v>
      </c>
      <c r="I10" s="16">
        <f t="shared" si="3"/>
        <v>1</v>
      </c>
      <c r="J10" s="16"/>
      <c r="K10" s="14">
        <v>43958</v>
      </c>
      <c r="L10" s="17"/>
      <c r="M10" s="18"/>
      <c r="N10" s="19"/>
      <c r="O10" s="17"/>
      <c r="P10" s="18"/>
      <c r="Q10" s="19"/>
      <c r="R10" s="17"/>
      <c r="S10" s="18"/>
      <c r="T10" s="19"/>
    </row>
    <row r="11" spans="3:20" x14ac:dyDescent="0.35">
      <c r="G11" s="15"/>
      <c r="H11" s="15"/>
      <c r="I11" s="16"/>
      <c r="J11" s="16"/>
      <c r="K11" s="10" t="s">
        <v>49</v>
      </c>
      <c r="L11" s="10">
        <f>SUM(L4:M9)</f>
        <v>0</v>
      </c>
      <c r="M11" s="10">
        <f>SUM(M4:N9)</f>
        <v>0</v>
      </c>
      <c r="N11" s="10">
        <f>SUM(N4:O9)</f>
        <v>0</v>
      </c>
      <c r="O11" s="10">
        <f t="shared" ref="O11:T11" si="4">SUM(O4:P9)</f>
        <v>0</v>
      </c>
      <c r="P11" s="10">
        <f t="shared" si="4"/>
        <v>0</v>
      </c>
      <c r="Q11" s="10">
        <f t="shared" si="4"/>
        <v>0</v>
      </c>
      <c r="R11" s="10">
        <f t="shared" si="4"/>
        <v>0</v>
      </c>
      <c r="S11" s="10">
        <f t="shared" si="4"/>
        <v>0</v>
      </c>
      <c r="T11" s="10">
        <f t="shared" si="4"/>
        <v>0</v>
      </c>
    </row>
    <row r="12" spans="3:20" x14ac:dyDescent="0.35">
      <c r="C12" s="10" t="s">
        <v>49</v>
      </c>
      <c r="D12" s="10">
        <f>SUM(D4:D11)</f>
        <v>38</v>
      </c>
      <c r="E12" s="10">
        <f>SUM(E4:E11)</f>
        <v>45</v>
      </c>
      <c r="F12" s="10">
        <f t="shared" si="0"/>
        <v>83</v>
      </c>
      <c r="G12" s="15">
        <f t="shared" ref="G12" si="5">D12/F12</f>
        <v>0.45783132530120479</v>
      </c>
      <c r="H12" s="15">
        <f t="shared" ref="H12" si="6">E12/F12</f>
        <v>0.54216867469879515</v>
      </c>
      <c r="I12" s="16">
        <f t="shared" ref="I12" si="7">SUM(G11:H12)</f>
        <v>1</v>
      </c>
      <c r="J12" s="16"/>
    </row>
    <row r="15" spans="3:20" x14ac:dyDescent="0.35">
      <c r="C15" s="28" t="s">
        <v>51</v>
      </c>
      <c r="D15" s="28"/>
      <c r="E15" s="28"/>
      <c r="F15" s="28"/>
      <c r="G15" s="28"/>
    </row>
    <row r="16" spans="3:20" ht="15" thickBot="1" x14ac:dyDescent="0.4"/>
    <row r="17" spans="3:9" ht="15" thickBot="1" x14ac:dyDescent="0.4">
      <c r="C17" s="20" t="s">
        <v>50</v>
      </c>
      <c r="D17" s="29" t="s">
        <v>52</v>
      </c>
      <c r="E17" s="29"/>
      <c r="F17" s="21" t="s">
        <v>53</v>
      </c>
      <c r="G17" s="21"/>
      <c r="H17" s="21" t="s">
        <v>54</v>
      </c>
      <c r="I17" s="22"/>
    </row>
    <row r="18" spans="3:9" x14ac:dyDescent="0.35">
      <c r="C18" s="14">
        <v>43952</v>
      </c>
      <c r="D18" s="10">
        <v>8</v>
      </c>
      <c r="E18" s="15">
        <f>D18/8</f>
        <v>1</v>
      </c>
      <c r="F18" s="10">
        <v>5</v>
      </c>
      <c r="G18" s="15">
        <f>F18/8</f>
        <v>0.625</v>
      </c>
      <c r="H18" s="10">
        <v>2</v>
      </c>
      <c r="I18" s="15">
        <f>H18/8</f>
        <v>0.25</v>
      </c>
    </row>
    <row r="19" spans="3:9" x14ac:dyDescent="0.35">
      <c r="C19" s="14">
        <v>43953</v>
      </c>
      <c r="D19" s="10">
        <v>7</v>
      </c>
      <c r="E19" s="15">
        <f t="shared" ref="E19:G24" si="8">D19/8</f>
        <v>0.875</v>
      </c>
      <c r="F19" s="10">
        <v>5</v>
      </c>
      <c r="G19" s="15">
        <f t="shared" si="8"/>
        <v>0.625</v>
      </c>
      <c r="H19" s="10">
        <v>2</v>
      </c>
      <c r="I19" s="15">
        <f t="shared" ref="I19:I24" si="9">H19/8</f>
        <v>0.25</v>
      </c>
    </row>
    <row r="20" spans="3:9" x14ac:dyDescent="0.35">
      <c r="C20" s="14">
        <v>43954</v>
      </c>
      <c r="D20" s="10">
        <v>6</v>
      </c>
      <c r="E20" s="15">
        <f t="shared" si="8"/>
        <v>0.75</v>
      </c>
      <c r="F20" s="10">
        <v>5</v>
      </c>
      <c r="G20" s="15">
        <f t="shared" si="8"/>
        <v>0.625</v>
      </c>
      <c r="H20" s="10">
        <v>2</v>
      </c>
      <c r="I20" s="15">
        <f t="shared" si="9"/>
        <v>0.25</v>
      </c>
    </row>
    <row r="21" spans="3:9" x14ac:dyDescent="0.35">
      <c r="C21" s="14">
        <v>43955</v>
      </c>
      <c r="D21" s="10">
        <v>8</v>
      </c>
      <c r="E21" s="15">
        <f t="shared" si="8"/>
        <v>1</v>
      </c>
      <c r="F21" s="10">
        <v>5</v>
      </c>
      <c r="G21" s="15">
        <f t="shared" si="8"/>
        <v>0.625</v>
      </c>
      <c r="H21" s="10">
        <v>2</v>
      </c>
      <c r="I21" s="15">
        <f t="shared" si="9"/>
        <v>0.25</v>
      </c>
    </row>
    <row r="22" spans="3:9" x14ac:dyDescent="0.35">
      <c r="C22" s="14">
        <v>43956</v>
      </c>
      <c r="D22" s="10">
        <v>5</v>
      </c>
      <c r="E22" s="15">
        <f t="shared" si="8"/>
        <v>0.625</v>
      </c>
      <c r="F22" s="10">
        <v>5</v>
      </c>
      <c r="G22" s="15">
        <f t="shared" si="8"/>
        <v>0.625</v>
      </c>
      <c r="H22" s="10">
        <v>2</v>
      </c>
      <c r="I22" s="15">
        <f t="shared" si="9"/>
        <v>0.25</v>
      </c>
    </row>
    <row r="23" spans="3:9" x14ac:dyDescent="0.35">
      <c r="C23" s="14">
        <v>43957</v>
      </c>
      <c r="D23" s="10">
        <v>10</v>
      </c>
      <c r="E23" s="15">
        <f t="shared" si="8"/>
        <v>1.25</v>
      </c>
      <c r="F23" s="10">
        <v>5</v>
      </c>
      <c r="G23" s="15">
        <f t="shared" si="8"/>
        <v>0.625</v>
      </c>
      <c r="H23" s="10">
        <v>2</v>
      </c>
      <c r="I23" s="15">
        <f t="shared" si="9"/>
        <v>0.25</v>
      </c>
    </row>
    <row r="24" spans="3:9" ht="15" thickBot="1" x14ac:dyDescent="0.4">
      <c r="C24" s="14">
        <v>43958</v>
      </c>
      <c r="D24" s="10">
        <v>8</v>
      </c>
      <c r="E24" s="15">
        <f t="shared" si="8"/>
        <v>1</v>
      </c>
      <c r="F24" s="10">
        <v>5</v>
      </c>
      <c r="G24" s="15">
        <f t="shared" si="8"/>
        <v>0.625</v>
      </c>
      <c r="H24" s="10">
        <v>2</v>
      </c>
      <c r="I24" s="15">
        <f t="shared" si="9"/>
        <v>0.25</v>
      </c>
    </row>
    <row r="25" spans="3:9" ht="15" thickBot="1" x14ac:dyDescent="0.4">
      <c r="C25" s="20" t="s">
        <v>49</v>
      </c>
      <c r="D25" s="21">
        <f>SUM(D18:D24)</f>
        <v>52</v>
      </c>
      <c r="E25" s="23">
        <f>D25/(8*8)</f>
        <v>0.8125</v>
      </c>
      <c r="F25" s="21">
        <f>SUM(F18:F24)</f>
        <v>35</v>
      </c>
      <c r="G25" s="23">
        <f>F25/(8*8)</f>
        <v>0.546875</v>
      </c>
      <c r="H25" s="21">
        <f>SUM(H18:H24)</f>
        <v>14</v>
      </c>
      <c r="I25" s="24">
        <f>H25/(8*8)</f>
        <v>0.21875</v>
      </c>
    </row>
    <row r="27" spans="3:9" ht="15" thickBot="1" x14ac:dyDescent="0.4"/>
    <row r="28" spans="3:9" ht="15" thickBot="1" x14ac:dyDescent="0.4">
      <c r="C28" s="30" t="s">
        <v>55</v>
      </c>
      <c r="D28" s="31"/>
      <c r="G28" s="30" t="s">
        <v>56</v>
      </c>
      <c r="H28" s="31"/>
    </row>
    <row r="29" spans="3:9" x14ac:dyDescent="0.35">
      <c r="C29" s="10" t="s">
        <v>57</v>
      </c>
      <c r="D29" s="10" t="s">
        <v>58</v>
      </c>
      <c r="E29" s="10" t="s">
        <v>59</v>
      </c>
    </row>
    <row r="30" spans="3:9" x14ac:dyDescent="0.35">
      <c r="C30" s="14">
        <v>43952</v>
      </c>
      <c r="D30" s="10">
        <v>5</v>
      </c>
      <c r="E30" s="10">
        <v>3</v>
      </c>
    </row>
    <row r="31" spans="3:9" x14ac:dyDescent="0.35">
      <c r="C31" s="14">
        <v>43953</v>
      </c>
      <c r="D31" s="10">
        <v>6</v>
      </c>
      <c r="E31" s="10">
        <v>3</v>
      </c>
    </row>
    <row r="32" spans="3:9" x14ac:dyDescent="0.35">
      <c r="C32" s="14">
        <v>43954</v>
      </c>
      <c r="D32" s="10">
        <v>3</v>
      </c>
      <c r="E32" s="10">
        <v>3</v>
      </c>
    </row>
    <row r="33" spans="2:6" x14ac:dyDescent="0.35">
      <c r="C33" s="14">
        <v>43955</v>
      </c>
      <c r="D33" s="10">
        <v>8</v>
      </c>
      <c r="E33" s="10">
        <v>3</v>
      </c>
    </row>
    <row r="34" spans="2:6" x14ac:dyDescent="0.35">
      <c r="C34" s="14">
        <v>43956</v>
      </c>
      <c r="D34" s="10">
        <v>9</v>
      </c>
      <c r="E34" s="10">
        <v>3</v>
      </c>
    </row>
    <row r="35" spans="2:6" ht="15" thickBot="1" x14ac:dyDescent="0.4">
      <c r="C35" s="14"/>
    </row>
    <row r="36" spans="2:6" ht="15" thickBot="1" x14ac:dyDescent="0.4">
      <c r="C36" s="25" t="s">
        <v>49</v>
      </c>
      <c r="D36" s="21">
        <f>AVERAGE(D30:E33)</f>
        <v>4.25</v>
      </c>
      <c r="E36" s="26">
        <v>3</v>
      </c>
    </row>
    <row r="38" spans="2:6" ht="15" thickBot="1" x14ac:dyDescent="0.4"/>
    <row r="39" spans="2:6" ht="15" thickBot="1" x14ac:dyDescent="0.4">
      <c r="C39" s="30" t="s">
        <v>60</v>
      </c>
      <c r="D39" s="31"/>
      <c r="E39" s="10" t="s">
        <v>61</v>
      </c>
    </row>
    <row r="41" spans="2:6" x14ac:dyDescent="0.35">
      <c r="C41" s="10" t="s">
        <v>62</v>
      </c>
      <c r="D41" s="10" t="s">
        <v>63</v>
      </c>
      <c r="E41" s="10" t="s">
        <v>64</v>
      </c>
      <c r="F41" s="10" t="s">
        <v>65</v>
      </c>
    </row>
    <row r="42" spans="2:6" x14ac:dyDescent="0.35">
      <c r="B42" s="14">
        <v>43952</v>
      </c>
      <c r="C42" s="10">
        <v>5</v>
      </c>
      <c r="D42" s="10">
        <v>4</v>
      </c>
      <c r="E42" s="10">
        <v>3</v>
      </c>
      <c r="F42" s="10">
        <v>2</v>
      </c>
    </row>
    <row r="43" spans="2:6" x14ac:dyDescent="0.35">
      <c r="B43" s="14">
        <v>43953</v>
      </c>
      <c r="C43" s="10">
        <v>3</v>
      </c>
      <c r="D43" s="10">
        <v>5</v>
      </c>
      <c r="E43" s="10">
        <v>6</v>
      </c>
      <c r="F43" s="10">
        <v>1</v>
      </c>
    </row>
    <row r="44" spans="2:6" x14ac:dyDescent="0.35">
      <c r="B44" s="14">
        <v>43954</v>
      </c>
      <c r="C44" s="10">
        <v>8</v>
      </c>
      <c r="D44" s="10">
        <v>4</v>
      </c>
      <c r="E44" s="10">
        <v>7</v>
      </c>
      <c r="F44" s="10">
        <v>9</v>
      </c>
    </row>
    <row r="45" spans="2:6" x14ac:dyDescent="0.35">
      <c r="B45" s="14"/>
    </row>
    <row r="46" spans="2:6" x14ac:dyDescent="0.35">
      <c r="B46" s="14" t="s">
        <v>66</v>
      </c>
      <c r="C46" s="27">
        <f>AVERAGE(C42:C44)</f>
        <v>5.333333333333333</v>
      </c>
      <c r="D46" s="27">
        <f t="shared" ref="D46:F46" si="10">AVERAGE(D42:D44)</f>
        <v>4.333333333333333</v>
      </c>
      <c r="E46" s="27">
        <f t="shared" si="10"/>
        <v>5.333333333333333</v>
      </c>
      <c r="F46" s="27">
        <f t="shared" si="10"/>
        <v>4</v>
      </c>
    </row>
    <row r="49" spans="2:10" x14ac:dyDescent="0.35">
      <c r="C49" s="28" t="s">
        <v>67</v>
      </c>
      <c r="D49" s="28"/>
      <c r="E49" s="28"/>
      <c r="F49" s="10" t="s">
        <v>61</v>
      </c>
      <c r="G49" s="28" t="s">
        <v>68</v>
      </c>
      <c r="H49" s="28"/>
      <c r="I49" s="28"/>
      <c r="J49" s="10" t="s">
        <v>61</v>
      </c>
    </row>
    <row r="50" spans="2:10" x14ac:dyDescent="0.35">
      <c r="C50" s="10" t="s">
        <v>62</v>
      </c>
      <c r="D50" s="10" t="s">
        <v>63</v>
      </c>
      <c r="E50" s="10" t="s">
        <v>64</v>
      </c>
      <c r="F50" s="10" t="s">
        <v>65</v>
      </c>
      <c r="H50" s="10" t="s">
        <v>69</v>
      </c>
    </row>
    <row r="51" spans="2:10" x14ac:dyDescent="0.35">
      <c r="B51" s="14">
        <v>43952</v>
      </c>
      <c r="C51" s="10">
        <v>5</v>
      </c>
      <c r="D51" s="10">
        <v>3</v>
      </c>
      <c r="E51" s="10">
        <v>2</v>
      </c>
      <c r="F51" s="10">
        <v>6</v>
      </c>
      <c r="G51" s="10" t="s">
        <v>70</v>
      </c>
    </row>
    <row r="52" spans="2:10" x14ac:dyDescent="0.35">
      <c r="B52" s="14">
        <v>43953</v>
      </c>
      <c r="C52" s="10">
        <v>8</v>
      </c>
      <c r="D52" s="10">
        <v>9</v>
      </c>
      <c r="E52" s="10">
        <v>4</v>
      </c>
      <c r="F52" s="10">
        <v>3</v>
      </c>
    </row>
    <row r="53" spans="2:10" x14ac:dyDescent="0.35">
      <c r="B53" s="14"/>
    </row>
    <row r="54" spans="2:10" x14ac:dyDescent="0.35">
      <c r="B54" s="14" t="s">
        <v>66</v>
      </c>
      <c r="C54" s="10">
        <f>AVERAGE(C51:C52)</f>
        <v>6.5</v>
      </c>
      <c r="D54" s="10">
        <f t="shared" ref="D54:F54" si="11">AVERAGE(D51:D52)</f>
        <v>6</v>
      </c>
      <c r="E54" s="10">
        <f t="shared" si="11"/>
        <v>3</v>
      </c>
      <c r="F54" s="10">
        <f t="shared" si="11"/>
        <v>4.5</v>
      </c>
    </row>
    <row r="56" spans="2:10" x14ac:dyDescent="0.35">
      <c r="C56" s="28" t="s">
        <v>71</v>
      </c>
      <c r="D56" s="28"/>
      <c r="E56" s="28"/>
    </row>
    <row r="58" spans="2:10" x14ac:dyDescent="0.35">
      <c r="C58" s="10" t="s">
        <v>62</v>
      </c>
      <c r="D58" s="10" t="s">
        <v>72</v>
      </c>
      <c r="E58" s="10" t="s">
        <v>63</v>
      </c>
      <c r="F58" s="10" t="s">
        <v>49</v>
      </c>
      <c r="G58" s="10" t="s">
        <v>64</v>
      </c>
      <c r="I58" s="10"/>
      <c r="J58" s="10"/>
    </row>
    <row r="59" spans="2:10" x14ac:dyDescent="0.35">
      <c r="B59" s="14">
        <v>43952</v>
      </c>
      <c r="C59" s="10">
        <v>5</v>
      </c>
      <c r="D59" s="10">
        <v>8</v>
      </c>
      <c r="E59" s="10">
        <v>2</v>
      </c>
      <c r="F59" s="10">
        <v>6</v>
      </c>
      <c r="G59" s="10">
        <v>9</v>
      </c>
      <c r="H59" s="15">
        <f>F59/G59</f>
        <v>0.66666666666666663</v>
      </c>
    </row>
    <row r="60" spans="2:10" x14ac:dyDescent="0.35">
      <c r="B60" s="14">
        <v>43953</v>
      </c>
      <c r="C60" s="10">
        <v>8</v>
      </c>
      <c r="D60" s="10">
        <v>12</v>
      </c>
      <c r="E60" s="10">
        <v>4</v>
      </c>
      <c r="F60" s="10">
        <v>3</v>
      </c>
      <c r="G60" s="10">
        <v>11</v>
      </c>
      <c r="H60" s="15">
        <f>F60/G60</f>
        <v>0.27272727272727271</v>
      </c>
    </row>
  </sheetData>
  <mergeCells count="14">
    <mergeCell ref="R2:T2"/>
    <mergeCell ref="C1:F1"/>
    <mergeCell ref="K1:M1"/>
    <mergeCell ref="G2:I2"/>
    <mergeCell ref="L2:N2"/>
    <mergeCell ref="O2:Q2"/>
    <mergeCell ref="C56:E56"/>
    <mergeCell ref="C15:G15"/>
    <mergeCell ref="D17:E17"/>
    <mergeCell ref="C28:D28"/>
    <mergeCell ref="G28:H28"/>
    <mergeCell ref="C39:D39"/>
    <mergeCell ref="C49:E49"/>
    <mergeCell ref="G49:I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Dhanasekaran</dc:creator>
  <cp:lastModifiedBy>Karthikeyan Dhanasekaran</cp:lastModifiedBy>
  <dcterms:created xsi:type="dcterms:W3CDTF">2020-05-31T02:38:44Z</dcterms:created>
  <dcterms:modified xsi:type="dcterms:W3CDTF">2020-05-31T02:42:43Z</dcterms:modified>
</cp:coreProperties>
</file>